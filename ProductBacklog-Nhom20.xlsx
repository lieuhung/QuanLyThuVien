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852D41-A9B5-4A94-8467-4866ADEC7007}" xr6:coauthVersionLast="45" xr6:coauthVersionMax="47" xr10:uidLastSave="{00000000-0000-0000-0000-000000000000}"/>
  <bookViews>
    <workbookView xWindow="-108" yWindow="-108" windowWidth="23256" windowHeight="12456" tabRatio="798" activeTab="1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91028" concurrentCalc="0"/>
</workbook>
</file>

<file path=xl/calcChain.xml><?xml version="1.0" encoding="utf-8"?>
<calcChain xmlns="http://schemas.openxmlformats.org/spreadsheetml/2006/main">
  <c r="C24" i="6" l="1"/>
  <c r="C13" i="6"/>
  <c r="C31" i="6"/>
  <c r="C26" i="6"/>
  <c r="C27" i="6"/>
  <c r="C28" i="6"/>
  <c r="C29" i="6"/>
  <c r="C30" i="6"/>
  <c r="C15" i="6"/>
  <c r="C16" i="6"/>
  <c r="C17" i="6"/>
  <c r="C18" i="6"/>
  <c r="C19" i="6"/>
  <c r="C20" i="6"/>
  <c r="C21" i="6"/>
  <c r="C22" i="6"/>
  <c r="C5" i="6"/>
</calcChain>
</file>

<file path=xl/sharedStrings.xml><?xml version="1.0" encoding="utf-8"?>
<sst xmlns="http://schemas.openxmlformats.org/spreadsheetml/2006/main" count="137" uniqueCount="94">
  <si>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</si>
  <si>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</si>
  <si>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</si>
  <si>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</si>
  <si>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</si>
  <si>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</si>
  <si>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</si>
  <si>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</si>
  <si>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E-COMMERCE PROJECT - PRODUCT BACKLOG</t>
  </si>
  <si>
    <t>Story ID</t>
  </si>
  <si>
    <t>Story Name</t>
  </si>
  <si>
    <t>Points</t>
  </si>
  <si>
    <t>E-COMMERCE PROJECT - SPRINT BACKLOG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</si>
  <si>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</si>
  <si>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</si>
  <si>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</si>
  <si>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</si>
  <si>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</si>
  <si>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</si>
  <si>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</si>
  <si>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</si>
  <si>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Đăng nhập</t>
  </si>
  <si>
    <t>Đăng ký tài khoản</t>
  </si>
  <si>
    <t>Đăng xuất</t>
  </si>
  <si>
    <t>Quên mật khẩu</t>
  </si>
  <si>
    <t>Profile</t>
  </si>
  <si>
    <t>Tìm kiếm sách</t>
  </si>
  <si>
    <t>Đặt mượn sách</t>
  </si>
  <si>
    <t>Hùng</t>
  </si>
  <si>
    <t>Lọc tài liệu theo danh mục</t>
  </si>
  <si>
    <t>Trả sách</t>
  </si>
  <si>
    <t>Kế</t>
  </si>
  <si>
    <t>Kiệt</t>
  </si>
  <si>
    <t>Dương</t>
  </si>
  <si>
    <t>Anh</t>
  </si>
  <si>
    <t>Xem danh sách sách / tài liệu hiện có</t>
  </si>
  <si>
    <t>Xem thông tin chi tiết sách / tài liệu</t>
  </si>
  <si>
    <t>Nhận thông báo (sách đặt trước đã có sẵn…)</t>
  </si>
  <si>
    <t>Liêu Siêu Hùng</t>
  </si>
  <si>
    <t>Nguyễn Cao Kế</t>
  </si>
  <si>
    <t>Nguyễn Anh Kiệt</t>
  </si>
  <si>
    <t>Nguyễn Đàm Nhật Anh</t>
  </si>
  <si>
    <t>Ngô Đình Thái Dương</t>
  </si>
  <si>
    <t>Dev</t>
  </si>
  <si>
    <t>Product Owner</t>
  </si>
  <si>
    <t>Scrum Master</t>
  </si>
  <si>
    <t>Là người dùng, tôi muốn đăng nhập và đăng ký vào web</t>
  </si>
  <si>
    <t>Là người dùng, tôi muốn xem thông tin cá nhân</t>
  </si>
  <si>
    <t>Tài khoản người dùng</t>
  </si>
  <si>
    <t>Là người dùng, tôi muốn tìm kiếm sách / tài liệu theo tên, tác giả, thể loại, năm xuất bản</t>
  </si>
  <si>
    <t>Là người dùng, tôi muốn xem danh sách / tài liệu hiện có</t>
  </si>
  <si>
    <t>Là admin, tôi muốn quản lý tài khoản người dùng (thêm, sửa, xóa)</t>
  </si>
  <si>
    <t>Là người dùng, tôi muốn xem thông tin chi tiết sách (mô tả, tình trạng còn hay đã mượn,…)</t>
  </si>
  <si>
    <t>Là người dùng, tôi muốn lọc tài liệu theo danh mục (giáo trình, tạp chí, luận văn,…)</t>
  </si>
  <si>
    <t>Mượn - trả</t>
  </si>
  <si>
    <t>Là người dùng, tôi đặt sách muốn mượn</t>
  </si>
  <si>
    <t>Là người dùng, tôi muốn trả sách</t>
  </si>
  <si>
    <t>Là người dùng, tôi muốn xem lịch sử mượn - trả sách</t>
  </si>
  <si>
    <t>Sách - tài liệu</t>
  </si>
  <si>
    <t>Là người dùng, tôi muốn đổi mật khẩu khi quên mật khẩu tài khoản</t>
  </si>
  <si>
    <t>Thống kê</t>
  </si>
  <si>
    <t>Là admin, tôi muốn thêm sách, tài liệu mới (tên, tác giả, NXB, năm, số lượng, …)</t>
  </si>
  <si>
    <t>Là admin, tôi muốn sửa thông tin sách / tài liệu</t>
  </si>
  <si>
    <t>Là admin, tôi muốn xóa sách / tài liệu (hoặc đánh dấu ngừng lưu hành)</t>
  </si>
  <si>
    <t>Là admin, tôi muốn quản lý danh mục (thể loại, loại tài liệu, …)</t>
  </si>
  <si>
    <t>Là admin, tôi muốn xem tài khoản người dùng đã đăng nhập vào web</t>
  </si>
  <si>
    <t xml:space="preserve">Là admin, tôi xác nhận người dùng mượn / trả sách </t>
  </si>
  <si>
    <t>Là admin, tôi muốn tạo thông báo nhắc hẹn trả sách</t>
  </si>
  <si>
    <t>Là admin, tôi muốn thống kê số lượng sách, số lượt mượn - trả</t>
  </si>
  <si>
    <t>lieuhung</t>
  </si>
  <si>
    <t>Kemmeves</t>
  </si>
  <si>
    <t>hnakjet</t>
  </si>
  <si>
    <t>US-001</t>
  </si>
  <si>
    <t>US-002</t>
  </si>
  <si>
    <t>US-003</t>
  </si>
  <si>
    <t>US-004</t>
  </si>
  <si>
    <t>US-005</t>
  </si>
  <si>
    <t>US-006</t>
  </si>
  <si>
    <t>US-007</t>
  </si>
  <si>
    <t>US-008</t>
  </si>
  <si>
    <t>US-009</t>
  </si>
  <si>
    <t>US-010</t>
  </si>
  <si>
    <t>US-011</t>
  </si>
  <si>
    <t>US-012</t>
  </si>
  <si>
    <t>US-013</t>
  </si>
  <si>
    <t>US-014</t>
  </si>
  <si>
    <t>US-015</t>
  </si>
  <si>
    <t>US-016</t>
  </si>
  <si>
    <t>US-017</t>
  </si>
  <si>
    <t>US-018</t>
  </si>
  <si>
    <t>US-019</t>
  </si>
  <si>
    <t>Sprint 2</t>
  </si>
  <si>
    <t>Sprint 3</t>
  </si>
  <si>
    <t>Nhatanhisreal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</si>
</sst>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4" borderId="0" xfId="0" applyFill="1"/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/>
    </xf>
    <xf numFmtId="0" fontId="2" fillId="5" borderId="5" xfId="0" applyFont="1" applyFill="1" applyBorder="1"/>
    <xf numFmtId="0" fontId="2" fillId="5" borderId="4" xfId="0" applyFont="1" applyFill="1" applyBorder="1"/>
    <xf numFmtId="0" fontId="2" fillId="5" borderId="9" xfId="0" applyFont="1" applyFill="1" applyBorder="1"/>
    <xf numFmtId="15" fontId="0" fillId="0" borderId="8" xfId="0" applyNumberFormat="1" applyBorder="1"/>
    <xf numFmtId="0" fontId="4" fillId="3" borderId="8" xfId="0" applyFont="1" applyFill="1" applyBorder="1"/>
    <xf numFmtId="0" fontId="0" fillId="4" borderId="8" xfId="0" applyFill="1" applyBorder="1"/>
    <xf numFmtId="0" fontId="2" fillId="0" borderId="0" xfId="0" applyFont="1"/>
    <xf numFmtId="9" fontId="0" fillId="0" borderId="0" xfId="0" applyNumberFormat="1"/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6" fillId="5" borderId="19" xfId="0" applyFont="1" applyFill="1" applyBorder="1"/>
    <xf numFmtId="0" fontId="6" fillId="5" borderId="18" xfId="0" applyFont="1" applyFill="1" applyBorder="1"/>
    <xf numFmtId="0" fontId="5" fillId="0" borderId="19" xfId="0" applyFont="1" applyBorder="1"/>
    <xf numFmtId="0" fontId="5" fillId="0" borderId="18" xfId="0" applyFont="1" applyBorder="1"/>
    <xf numFmtId="0" fontId="6" fillId="2" borderId="18" xfId="0" applyFont="1" applyFill="1" applyBorder="1" applyAlignment="1">
      <alignment horizontal="center"/>
    </xf>
    <xf numFmtId="0" fontId="5" fillId="0" borderId="19" xfId="0" applyFont="1" applyBorder="1" applyAlignment="1">
      <alignment horizontal="left"/>
    </xf>
    <xf numFmtId="15" fontId="5" fillId="0" borderId="19" xfId="0" applyNumberFormat="1" applyFont="1" applyBorder="1"/>
    <xf numFmtId="0" fontId="5" fillId="4" borderId="19" xfId="0" applyFont="1" applyFill="1" applyBorder="1"/>
    <xf numFmtId="0" fontId="5" fillId="0" borderId="15" xfId="0" applyFont="1" applyBorder="1"/>
    <xf numFmtId="0" fontId="5" fillId="0" borderId="15" xfId="0" applyFont="1" applyBorder="1" applyAlignment="1">
      <alignment horizontal="left"/>
    </xf>
    <xf numFmtId="0" fontId="5" fillId="0" borderId="8" xfId="0" applyFont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workbookViewId="0">
      <selection activeCell="A3" sqref="A3:L19"/>
    </sheetView>
  </sheetViews>
  <sheetFormatPr defaultColWidth="8.88671875" defaultRowHeight="13.2" x14ac:dyDescent="0.25"/>
  <sheetData>
    <row r="2" spans="1:12" x14ac:dyDescent="0.25">
      <c r="A2" s="18" t="s">
        <v>0</v>
      </c>
    </row>
    <row r="3" spans="1:12" x14ac:dyDescent="0.2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2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1:12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1:12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1:12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spans="1:12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spans="1:12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spans="1:12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</sheetData>
  <mergeCells count="1">
    <mergeCell ref="A3:L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zoomScale="190" zoomScaleNormal="190" workbookViewId="0">
      <selection activeCell="C11" sqref="C11"/>
    </sheetView>
  </sheetViews>
  <sheetFormatPr defaultColWidth="8.88671875" defaultRowHeight="13.2" x14ac:dyDescent="0.25"/>
  <cols>
    <col min="1" max="1" width="4.33203125" customWidth="1"/>
    <col min="2" max="2" width="20.44140625" bestFit="1" customWidth="1"/>
    <col min="3" max="3" width="20.44140625" customWidth="1"/>
    <col min="4" max="4" width="16.33203125" bestFit="1" customWidth="1"/>
    <col min="5" max="253" width="11.44140625" customWidth="1"/>
  </cols>
  <sheetData>
    <row r="1" spans="1:6" x14ac:dyDescent="0.25">
      <c r="A1" s="36" t="s">
        <v>1</v>
      </c>
      <c r="B1" s="36"/>
      <c r="C1" s="36"/>
      <c r="D1" s="36"/>
      <c r="E1" s="36"/>
      <c r="F1" s="36"/>
    </row>
    <row r="3" spans="1:6" x14ac:dyDescent="0.25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</row>
    <row r="4" spans="1:6" x14ac:dyDescent="0.25">
      <c r="A4" s="6">
        <v>1</v>
      </c>
      <c r="B4" s="6" t="s">
        <v>38</v>
      </c>
      <c r="C4" s="6" t="s">
        <v>69</v>
      </c>
      <c r="D4" s="6" t="s">
        <v>45</v>
      </c>
      <c r="E4" s="15">
        <v>45912</v>
      </c>
      <c r="F4" s="6"/>
    </row>
    <row r="5" spans="1:6" x14ac:dyDescent="0.25">
      <c r="A5" s="6">
        <v>2</v>
      </c>
      <c r="B5" s="6" t="s">
        <v>39</v>
      </c>
      <c r="C5" s="6" t="s">
        <v>70</v>
      </c>
      <c r="D5" s="6" t="s">
        <v>44</v>
      </c>
      <c r="E5" s="15">
        <v>45912</v>
      </c>
      <c r="F5" s="6"/>
    </row>
    <row r="6" spans="1:6" x14ac:dyDescent="0.25">
      <c r="A6" s="6">
        <v>3</v>
      </c>
      <c r="B6" s="6" t="s">
        <v>40</v>
      </c>
      <c r="C6" s="6" t="s">
        <v>71</v>
      </c>
      <c r="D6" s="6" t="s">
        <v>43</v>
      </c>
      <c r="E6" s="15">
        <v>45912</v>
      </c>
      <c r="F6" s="6"/>
    </row>
    <row r="7" spans="1:6" x14ac:dyDescent="0.25">
      <c r="A7" s="6">
        <v>4</v>
      </c>
      <c r="B7" s="6" t="s">
        <v>41</v>
      </c>
      <c r="C7" s="6" t="s">
        <v>93</v>
      </c>
      <c r="D7" s="6" t="s">
        <v>43</v>
      </c>
      <c r="E7" s="15">
        <v>45912</v>
      </c>
      <c r="F7" s="6"/>
    </row>
    <row r="8" spans="1:6" x14ac:dyDescent="0.25">
      <c r="A8" s="6">
        <v>5</v>
      </c>
      <c r="B8" s="6" t="s">
        <v>42</v>
      </c>
      <c r="C8" s="6"/>
      <c r="D8" s="6" t="s">
        <v>43</v>
      </c>
      <c r="E8" s="15">
        <v>45912</v>
      </c>
      <c r="F8" s="6"/>
    </row>
    <row r="9" spans="1:6" s="3" customFormat="1" x14ac:dyDescent="0.25">
      <c r="A9" s="17"/>
      <c r="B9" s="17"/>
      <c r="C9" s="17"/>
      <c r="D9" s="17"/>
      <c r="E9" s="15"/>
      <c r="F9" s="17"/>
    </row>
    <row r="10" spans="1:6" s="3" customFormat="1" x14ac:dyDescent="0.25">
      <c r="A10" s="17"/>
      <c r="B10" s="17"/>
      <c r="C10" s="17"/>
      <c r="D10" s="17"/>
      <c r="E10" s="15"/>
      <c r="F10" s="17"/>
    </row>
  </sheetData>
  <mergeCells count="1">
    <mergeCell ref="A1:F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opLeftCell="A7" zoomScale="130" zoomScaleNormal="130" workbookViewId="0">
      <selection activeCell="B21" sqref="B21"/>
    </sheetView>
  </sheetViews>
  <sheetFormatPr defaultColWidth="8.88671875" defaultRowHeight="13.2" x14ac:dyDescent="0.25"/>
  <cols>
    <col min="1" max="1" width="8.33203125" bestFit="1" customWidth="1"/>
    <col min="2" max="2" width="76.6640625" bestFit="1" customWidth="1"/>
    <col min="3" max="3" width="6.6640625" bestFit="1" customWidth="1"/>
    <col min="5" max="5" width="46.5546875" bestFit="1" customWidth="1"/>
    <col min="10" max="10" width="39.6640625" bestFit="1" customWidth="1"/>
  </cols>
  <sheetData>
    <row r="1" spans="1:10" ht="17.399999999999999" x14ac:dyDescent="0.3">
      <c r="B1" s="4" t="s">
        <v>8</v>
      </c>
    </row>
    <row r="2" spans="1:10" ht="13.8" thickBot="1" x14ac:dyDescent="0.3">
      <c r="A2" s="1"/>
      <c r="B2" s="8"/>
      <c r="C2" s="1"/>
    </row>
    <row r="3" spans="1:10" x14ac:dyDescent="0.25">
      <c r="A3" s="12" t="s">
        <v>9</v>
      </c>
      <c r="B3" s="13" t="s">
        <v>10</v>
      </c>
      <c r="C3" s="14" t="s">
        <v>11</v>
      </c>
    </row>
    <row r="4" spans="1:10" ht="13.8" thickBot="1" x14ac:dyDescent="0.3">
      <c r="A4" s="7"/>
      <c r="B4" s="1"/>
      <c r="C4" s="9"/>
    </row>
    <row r="5" spans="1:10" x14ac:dyDescent="0.25">
      <c r="A5" s="37" t="s">
        <v>48</v>
      </c>
      <c r="B5" s="37"/>
      <c r="C5" s="38"/>
    </row>
    <row r="6" spans="1:10" x14ac:dyDescent="0.25">
      <c r="A6" s="2" t="s">
        <v>72</v>
      </c>
      <c r="B6" s="5" t="s">
        <v>46</v>
      </c>
      <c r="C6" s="10">
        <v>5</v>
      </c>
      <c r="E6" s="11"/>
      <c r="J6" s="5" t="s">
        <v>21</v>
      </c>
    </row>
    <row r="7" spans="1:10" x14ac:dyDescent="0.25">
      <c r="A7" s="2" t="s">
        <v>73</v>
      </c>
      <c r="B7" s="5" t="s">
        <v>59</v>
      </c>
      <c r="C7" s="10">
        <v>5</v>
      </c>
      <c r="E7" s="11"/>
      <c r="G7" s="19"/>
      <c r="J7" s="5" t="s">
        <v>22</v>
      </c>
    </row>
    <row r="8" spans="1:10" x14ac:dyDescent="0.25">
      <c r="A8" s="2" t="s">
        <v>74</v>
      </c>
      <c r="B8" s="5" t="s">
        <v>47</v>
      </c>
      <c r="C8" s="10">
        <v>4</v>
      </c>
      <c r="E8" s="11"/>
      <c r="J8" s="5" t="s">
        <v>23</v>
      </c>
    </row>
    <row r="9" spans="1:10" x14ac:dyDescent="0.25">
      <c r="A9" s="2" t="s">
        <v>75</v>
      </c>
      <c r="B9" s="5" t="s">
        <v>51</v>
      </c>
      <c r="C9" s="10">
        <v>5</v>
      </c>
      <c r="E9" s="11"/>
      <c r="J9" s="5"/>
    </row>
    <row r="10" spans="1:10" ht="13.8" thickBot="1" x14ac:dyDescent="0.3">
      <c r="A10" s="2" t="s">
        <v>76</v>
      </c>
      <c r="B10" s="5" t="s">
        <v>65</v>
      </c>
      <c r="C10" s="10">
        <v>5</v>
      </c>
      <c r="E10" s="11"/>
      <c r="J10" s="5" t="s">
        <v>24</v>
      </c>
    </row>
    <row r="11" spans="1:10" x14ac:dyDescent="0.25">
      <c r="A11" s="37" t="s">
        <v>58</v>
      </c>
      <c r="B11" s="37"/>
      <c r="C11" s="38"/>
      <c r="E11" s="21"/>
      <c r="J11" s="5" t="s">
        <v>25</v>
      </c>
    </row>
    <row r="12" spans="1:10" x14ac:dyDescent="0.25">
      <c r="A12" s="2" t="s">
        <v>77</v>
      </c>
      <c r="B12" s="11" t="s">
        <v>49</v>
      </c>
      <c r="C12" s="10">
        <v>4</v>
      </c>
      <c r="E12" s="21"/>
      <c r="J12" s="5" t="s">
        <v>26</v>
      </c>
    </row>
    <row r="13" spans="1:10" x14ac:dyDescent="0.25">
      <c r="A13" s="2" t="s">
        <v>78</v>
      </c>
      <c r="B13" s="11" t="s">
        <v>50</v>
      </c>
      <c r="C13" s="10">
        <v>4</v>
      </c>
      <c r="E13" s="21"/>
      <c r="J13" s="5" t="s">
        <v>29</v>
      </c>
    </row>
    <row r="14" spans="1:10" x14ac:dyDescent="0.25">
      <c r="A14" s="2" t="s">
        <v>79</v>
      </c>
      <c r="B14" s="11" t="s">
        <v>53</v>
      </c>
      <c r="C14" s="10">
        <v>4</v>
      </c>
      <c r="E14" s="21"/>
      <c r="J14" s="5" t="s">
        <v>35</v>
      </c>
    </row>
    <row r="15" spans="1:10" x14ac:dyDescent="0.25">
      <c r="A15" s="2" t="s">
        <v>80</v>
      </c>
      <c r="B15" s="11" t="s">
        <v>52</v>
      </c>
      <c r="C15" s="10">
        <v>4</v>
      </c>
      <c r="E15" s="21"/>
      <c r="J15" s="5"/>
    </row>
    <row r="16" spans="1:10" x14ac:dyDescent="0.25">
      <c r="A16" s="2" t="s">
        <v>81</v>
      </c>
      <c r="B16" s="11" t="s">
        <v>61</v>
      </c>
      <c r="C16" s="10">
        <v>5</v>
      </c>
      <c r="E16" s="21"/>
      <c r="J16" s="5"/>
    </row>
    <row r="17" spans="1:10" x14ac:dyDescent="0.25">
      <c r="A17" s="2" t="s">
        <v>82</v>
      </c>
      <c r="B17" s="11" t="s">
        <v>62</v>
      </c>
      <c r="C17" s="10">
        <v>5</v>
      </c>
      <c r="E17" s="21"/>
      <c r="J17" s="5"/>
    </row>
    <row r="18" spans="1:10" x14ac:dyDescent="0.25">
      <c r="A18" s="2" t="s">
        <v>83</v>
      </c>
      <c r="B18" s="11" t="s">
        <v>63</v>
      </c>
      <c r="C18" s="10">
        <v>4</v>
      </c>
      <c r="E18" s="21"/>
      <c r="J18" s="5"/>
    </row>
    <row r="19" spans="1:10" ht="13.8" thickBot="1" x14ac:dyDescent="0.3">
      <c r="A19" s="2" t="s">
        <v>84</v>
      </c>
      <c r="B19" s="11" t="s">
        <v>64</v>
      </c>
      <c r="C19" s="10">
        <v>4</v>
      </c>
      <c r="E19" s="21"/>
      <c r="J19" s="5"/>
    </row>
    <row r="20" spans="1:10" x14ac:dyDescent="0.25">
      <c r="A20" s="37" t="s">
        <v>54</v>
      </c>
      <c r="B20" s="37"/>
      <c r="C20" s="38"/>
      <c r="E20" s="21"/>
      <c r="J20" s="5"/>
    </row>
    <row r="21" spans="1:10" x14ac:dyDescent="0.25">
      <c r="A21" s="2" t="s">
        <v>85</v>
      </c>
      <c r="B21" s="11" t="s">
        <v>55</v>
      </c>
      <c r="C21" s="10">
        <v>5</v>
      </c>
      <c r="E21" s="22"/>
      <c r="J21" s="5" t="s">
        <v>36</v>
      </c>
    </row>
    <row r="22" spans="1:10" x14ac:dyDescent="0.25">
      <c r="A22" s="2" t="s">
        <v>86</v>
      </c>
      <c r="B22" s="5" t="s">
        <v>56</v>
      </c>
      <c r="C22" s="10">
        <v>4</v>
      </c>
      <c r="E22" s="22"/>
      <c r="J22" s="5" t="s">
        <v>27</v>
      </c>
    </row>
    <row r="23" spans="1:10" x14ac:dyDescent="0.25">
      <c r="A23" s="2" t="s">
        <v>87</v>
      </c>
      <c r="B23" s="5" t="s">
        <v>57</v>
      </c>
      <c r="C23" s="10">
        <v>4</v>
      </c>
      <c r="J23" s="5"/>
    </row>
    <row r="24" spans="1:10" x14ac:dyDescent="0.25">
      <c r="A24" s="2" t="s">
        <v>88</v>
      </c>
      <c r="B24" s="5" t="s">
        <v>66</v>
      </c>
      <c r="C24" s="10">
        <v>4</v>
      </c>
      <c r="J24" s="5"/>
    </row>
    <row r="25" spans="1:10" x14ac:dyDescent="0.25">
      <c r="A25" s="2" t="s">
        <v>89</v>
      </c>
      <c r="B25" s="5" t="s">
        <v>67</v>
      </c>
      <c r="C25" s="10">
        <v>4</v>
      </c>
      <c r="J25" s="5"/>
    </row>
    <row r="26" spans="1:10" x14ac:dyDescent="0.25">
      <c r="A26" s="39" t="s">
        <v>60</v>
      </c>
      <c r="B26" s="39"/>
      <c r="C26" s="40"/>
      <c r="J26" s="5" t="s">
        <v>30</v>
      </c>
    </row>
    <row r="27" spans="1:10" x14ac:dyDescent="0.25">
      <c r="A27" s="6" t="s">
        <v>90</v>
      </c>
      <c r="B27" s="20" t="s">
        <v>68</v>
      </c>
      <c r="C27" s="6">
        <v>3</v>
      </c>
      <c r="J27" s="11" t="s">
        <v>37</v>
      </c>
    </row>
    <row r="30" spans="1:10" x14ac:dyDescent="0.25">
      <c r="B30" s="11"/>
    </row>
  </sheetData>
  <mergeCells count="4">
    <mergeCell ref="A5:C5"/>
    <mergeCell ref="A11:C11"/>
    <mergeCell ref="A20:C20"/>
    <mergeCell ref="A26:C26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topLeftCell="B1" zoomScale="143" zoomScaleNormal="85" workbookViewId="0">
      <pane ySplit="4" topLeftCell="A5" activePane="bottomLeft" state="frozen"/>
      <selection pane="bottomLeft" activeCell="B12" sqref="B12"/>
    </sheetView>
  </sheetViews>
  <sheetFormatPr defaultColWidth="8.88671875" defaultRowHeight="13.2" x14ac:dyDescent="0.25"/>
  <cols>
    <col min="1" max="1" width="8.109375" bestFit="1" customWidth="1"/>
    <col min="2" max="2" width="78.77734375" bestFit="1" customWidth="1"/>
    <col min="3" max="3" width="6.6640625" bestFit="1" customWidth="1"/>
    <col min="4" max="4" width="12.33203125" bestFit="1" customWidth="1"/>
    <col min="5" max="5" width="9.88671875" bestFit="1" customWidth="1"/>
    <col min="6" max="6" width="9.5546875" bestFit="1" customWidth="1"/>
    <col min="7" max="7" width="13.44140625" bestFit="1" customWidth="1"/>
    <col min="8" max="9" width="10.109375" bestFit="1" customWidth="1"/>
    <col min="10" max="10" width="6.109375" bestFit="1" customWidth="1"/>
  </cols>
  <sheetData>
    <row r="1" spans="1:10" ht="34.5" customHeight="1" x14ac:dyDescent="0.3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8" customHeight="1" x14ac:dyDescent="0.3">
      <c r="A2" s="4"/>
      <c r="B2" s="4"/>
      <c r="C2" s="4"/>
      <c r="D2" s="4"/>
      <c r="E2" s="4"/>
      <c r="F2" s="4"/>
      <c r="G2" s="4"/>
      <c r="H2" s="4"/>
    </row>
    <row r="3" spans="1:10" x14ac:dyDescent="0.25">
      <c r="B3" s="8"/>
      <c r="E3" s="36"/>
      <c r="F3" s="36"/>
      <c r="G3" s="36"/>
      <c r="H3" s="36"/>
    </row>
    <row r="4" spans="1:10" x14ac:dyDescent="0.25">
      <c r="A4" s="23" t="s">
        <v>9</v>
      </c>
      <c r="B4" s="23" t="s">
        <v>10</v>
      </c>
      <c r="C4" s="23" t="s">
        <v>11</v>
      </c>
      <c r="D4" s="23" t="s">
        <v>13</v>
      </c>
      <c r="E4" s="23" t="s">
        <v>14</v>
      </c>
      <c r="F4" s="23" t="s">
        <v>15</v>
      </c>
      <c r="G4" s="23" t="s">
        <v>16</v>
      </c>
      <c r="H4" s="23" t="s">
        <v>17</v>
      </c>
      <c r="I4" s="23" t="s">
        <v>18</v>
      </c>
      <c r="J4" s="24" t="s">
        <v>19</v>
      </c>
    </row>
    <row r="5" spans="1:10" x14ac:dyDescent="0.25">
      <c r="A5" s="25"/>
      <c r="B5" s="25"/>
      <c r="C5" s="25">
        <f>SUM(C7:C11)</f>
        <v>24</v>
      </c>
      <c r="D5" s="25"/>
      <c r="E5" s="25"/>
      <c r="F5" s="25"/>
      <c r="G5" s="25"/>
      <c r="H5" s="25"/>
      <c r="I5" s="25"/>
      <c r="J5" s="26"/>
    </row>
    <row r="6" spans="1:10" x14ac:dyDescent="0.25">
      <c r="A6" s="41" t="s">
        <v>20</v>
      </c>
      <c r="B6" s="42"/>
      <c r="C6" s="42"/>
      <c r="D6" s="42"/>
      <c r="E6" s="42"/>
      <c r="F6" s="42"/>
      <c r="G6" s="42"/>
      <c r="H6" s="42"/>
      <c r="I6" s="43"/>
      <c r="J6" s="27"/>
    </row>
    <row r="7" spans="1:10" x14ac:dyDescent="0.25">
      <c r="A7" s="25" t="s">
        <v>72</v>
      </c>
      <c r="B7" s="28" t="s">
        <v>46</v>
      </c>
      <c r="C7" s="25">
        <v>5</v>
      </c>
      <c r="D7" s="25" t="s">
        <v>28</v>
      </c>
      <c r="E7" s="29">
        <v>45912</v>
      </c>
      <c r="F7" s="29">
        <v>45930</v>
      </c>
      <c r="G7" s="29">
        <v>45912</v>
      </c>
      <c r="H7" s="29">
        <v>45930</v>
      </c>
      <c r="I7" s="25"/>
      <c r="J7" s="26"/>
    </row>
    <row r="8" spans="1:10" x14ac:dyDescent="0.25">
      <c r="A8" s="25" t="s">
        <v>73</v>
      </c>
      <c r="B8" s="28" t="s">
        <v>59</v>
      </c>
      <c r="C8" s="25">
        <v>5</v>
      </c>
      <c r="D8" s="25" t="s">
        <v>32</v>
      </c>
      <c r="E8" s="29">
        <v>45912</v>
      </c>
      <c r="F8" s="29">
        <v>45930</v>
      </c>
      <c r="G8" s="29">
        <v>45912</v>
      </c>
      <c r="H8" s="29">
        <v>45930</v>
      </c>
      <c r="I8" s="25"/>
      <c r="J8" s="26"/>
    </row>
    <row r="9" spans="1:10" x14ac:dyDescent="0.25">
      <c r="A9" s="25" t="s">
        <v>74</v>
      </c>
      <c r="B9" s="28" t="s">
        <v>47</v>
      </c>
      <c r="C9" s="25">
        <v>4</v>
      </c>
      <c r="D9" s="25" t="s">
        <v>31</v>
      </c>
      <c r="E9" s="29">
        <v>45912</v>
      </c>
      <c r="F9" s="29">
        <v>45930</v>
      </c>
      <c r="G9" s="29">
        <v>45912</v>
      </c>
      <c r="H9" s="29">
        <v>45930</v>
      </c>
      <c r="I9" s="25"/>
      <c r="J9" s="26"/>
    </row>
    <row r="10" spans="1:10" x14ac:dyDescent="0.25">
      <c r="A10" s="25" t="s">
        <v>75</v>
      </c>
      <c r="B10" s="28" t="s">
        <v>51</v>
      </c>
      <c r="C10" s="25">
        <v>5</v>
      </c>
      <c r="D10" s="25" t="s">
        <v>33</v>
      </c>
      <c r="E10" s="29">
        <v>45912</v>
      </c>
      <c r="F10" s="29">
        <v>45930</v>
      </c>
      <c r="G10" s="29">
        <v>45912</v>
      </c>
      <c r="H10" s="29">
        <v>45930</v>
      </c>
      <c r="I10" s="25"/>
      <c r="J10" s="26"/>
    </row>
    <row r="11" spans="1:10" x14ac:dyDescent="0.25">
      <c r="A11" s="25" t="s">
        <v>76</v>
      </c>
      <c r="B11" s="28" t="s">
        <v>65</v>
      </c>
      <c r="C11" s="25">
        <v>5</v>
      </c>
      <c r="D11" s="25" t="s">
        <v>34</v>
      </c>
      <c r="E11" s="29">
        <v>45912</v>
      </c>
      <c r="F11" s="29">
        <v>45930</v>
      </c>
      <c r="G11" s="29">
        <v>45912</v>
      </c>
      <c r="H11" s="29">
        <v>45930</v>
      </c>
      <c r="I11" s="25"/>
      <c r="J11" s="26"/>
    </row>
    <row r="12" spans="1:10" x14ac:dyDescent="0.25">
      <c r="A12" s="25"/>
      <c r="B12" s="28"/>
      <c r="C12" s="25"/>
      <c r="D12" s="25"/>
      <c r="E12" s="29"/>
      <c r="F12" s="29"/>
      <c r="G12" s="29"/>
      <c r="H12" s="29"/>
      <c r="I12" s="25"/>
      <c r="J12" s="26"/>
    </row>
    <row r="13" spans="1:10" x14ac:dyDescent="0.25">
      <c r="A13" s="25"/>
      <c r="B13" s="25"/>
      <c r="C13" s="25">
        <f>SUM(C15:C22)</f>
        <v>34</v>
      </c>
      <c r="D13" s="30"/>
      <c r="E13" s="29"/>
      <c r="F13" s="29"/>
      <c r="G13" s="29"/>
      <c r="H13" s="29"/>
      <c r="I13" s="25"/>
      <c r="J13" s="26"/>
    </row>
    <row r="14" spans="1:10" x14ac:dyDescent="0.25">
      <c r="A14" s="41" t="s">
        <v>91</v>
      </c>
      <c r="B14" s="42"/>
      <c r="C14" s="42"/>
      <c r="D14" s="42"/>
      <c r="E14" s="42"/>
      <c r="F14" s="42"/>
      <c r="G14" s="42"/>
      <c r="H14" s="42"/>
      <c r="I14" s="43"/>
      <c r="J14" s="27"/>
    </row>
    <row r="15" spans="1:10" x14ac:dyDescent="0.25">
      <c r="A15" s="25" t="s">
        <v>77</v>
      </c>
      <c r="B15" s="28" t="s">
        <v>49</v>
      </c>
      <c r="C15" s="25">
        <f>'Product backlog'!C12</f>
        <v>4</v>
      </c>
      <c r="D15" s="25"/>
      <c r="E15" s="29">
        <v>45931</v>
      </c>
      <c r="F15" s="29">
        <v>45946</v>
      </c>
      <c r="G15" s="29">
        <v>45931</v>
      </c>
      <c r="H15" s="29">
        <v>45946</v>
      </c>
      <c r="I15" s="25"/>
      <c r="J15" s="26"/>
    </row>
    <row r="16" spans="1:10" x14ac:dyDescent="0.25">
      <c r="A16" s="25" t="s">
        <v>78</v>
      </c>
      <c r="B16" s="28" t="s">
        <v>50</v>
      </c>
      <c r="C16" s="25">
        <f>'Product backlog'!C13</f>
        <v>4</v>
      </c>
      <c r="D16" s="25"/>
      <c r="E16" s="29">
        <v>45931</v>
      </c>
      <c r="F16" s="29">
        <v>45946</v>
      </c>
      <c r="G16" s="29">
        <v>45931</v>
      </c>
      <c r="H16" s="29">
        <v>45946</v>
      </c>
      <c r="I16" s="25"/>
      <c r="J16" s="26"/>
    </row>
    <row r="17" spans="1:10" x14ac:dyDescent="0.25">
      <c r="A17" s="25" t="s">
        <v>79</v>
      </c>
      <c r="B17" s="28" t="s">
        <v>53</v>
      </c>
      <c r="C17" s="25">
        <f>'Product backlog'!C14</f>
        <v>4</v>
      </c>
      <c r="D17" s="25"/>
      <c r="E17" s="29">
        <v>45931</v>
      </c>
      <c r="F17" s="29">
        <v>45946</v>
      </c>
      <c r="G17" s="29">
        <v>45931</v>
      </c>
      <c r="H17" s="29">
        <v>45946</v>
      </c>
      <c r="I17" s="25"/>
      <c r="J17" s="26"/>
    </row>
    <row r="18" spans="1:10" x14ac:dyDescent="0.25">
      <c r="A18" s="25" t="s">
        <v>80</v>
      </c>
      <c r="B18" s="28" t="s">
        <v>52</v>
      </c>
      <c r="C18" s="25">
        <f>'Product backlog'!C15</f>
        <v>4</v>
      </c>
      <c r="D18" s="25"/>
      <c r="E18" s="29">
        <v>45931</v>
      </c>
      <c r="F18" s="29">
        <v>45946</v>
      </c>
      <c r="G18" s="29">
        <v>45931</v>
      </c>
      <c r="H18" s="29">
        <v>45946</v>
      </c>
      <c r="I18" s="25"/>
      <c r="J18" s="26"/>
    </row>
    <row r="19" spans="1:10" x14ac:dyDescent="0.25">
      <c r="A19" s="25" t="s">
        <v>81</v>
      </c>
      <c r="B19" s="28" t="s">
        <v>61</v>
      </c>
      <c r="C19" s="25">
        <f>'Product backlog'!C16</f>
        <v>5</v>
      </c>
      <c r="D19" s="25"/>
      <c r="E19" s="29">
        <v>45931</v>
      </c>
      <c r="F19" s="29">
        <v>45946</v>
      </c>
      <c r="G19" s="29">
        <v>45931</v>
      </c>
      <c r="H19" s="29">
        <v>45946</v>
      </c>
      <c r="I19" s="25"/>
      <c r="J19" s="26"/>
    </row>
    <row r="20" spans="1:10" x14ac:dyDescent="0.25">
      <c r="A20" s="25" t="s">
        <v>82</v>
      </c>
      <c r="B20" s="28" t="s">
        <v>62</v>
      </c>
      <c r="C20" s="25">
        <f>'Product backlog'!C17</f>
        <v>5</v>
      </c>
      <c r="D20" s="25"/>
      <c r="E20" s="29">
        <v>45931</v>
      </c>
      <c r="F20" s="29">
        <v>45946</v>
      </c>
      <c r="G20" s="29">
        <v>45931</v>
      </c>
      <c r="H20" s="29">
        <v>45946</v>
      </c>
      <c r="I20" s="25"/>
      <c r="J20" s="26"/>
    </row>
    <row r="21" spans="1:10" x14ac:dyDescent="0.25">
      <c r="A21" s="25" t="s">
        <v>83</v>
      </c>
      <c r="B21" s="28" t="s">
        <v>63</v>
      </c>
      <c r="C21" s="25">
        <f>'Product backlog'!C18</f>
        <v>4</v>
      </c>
      <c r="D21" s="25"/>
      <c r="E21" s="29">
        <v>45931</v>
      </c>
      <c r="F21" s="29">
        <v>45946</v>
      </c>
      <c r="G21" s="29">
        <v>45931</v>
      </c>
      <c r="H21" s="29">
        <v>45946</v>
      </c>
      <c r="I21" s="25"/>
      <c r="J21" s="26"/>
    </row>
    <row r="22" spans="1:10" x14ac:dyDescent="0.25">
      <c r="A22" s="25" t="s">
        <v>84</v>
      </c>
      <c r="B22" s="28" t="s">
        <v>64</v>
      </c>
      <c r="C22" s="25">
        <f>'Product backlog'!C19</f>
        <v>4</v>
      </c>
      <c r="D22" s="25"/>
      <c r="E22" s="29">
        <v>45931</v>
      </c>
      <c r="F22" s="29">
        <v>45946</v>
      </c>
      <c r="G22" s="29">
        <v>45931</v>
      </c>
      <c r="H22" s="29">
        <v>45946</v>
      </c>
      <c r="I22" s="25"/>
      <c r="J22" s="26"/>
    </row>
    <row r="23" spans="1:10" x14ac:dyDescent="0.25">
      <c r="A23" s="25"/>
      <c r="B23" s="28"/>
      <c r="C23" s="25"/>
      <c r="D23" s="25"/>
      <c r="E23" s="29"/>
      <c r="F23" s="29"/>
      <c r="G23" s="29"/>
      <c r="H23" s="29"/>
      <c r="I23" s="25"/>
      <c r="J23" s="26"/>
    </row>
    <row r="24" spans="1:10" x14ac:dyDescent="0.25">
      <c r="A24" s="25"/>
      <c r="B24" s="25"/>
      <c r="C24" s="25">
        <f>SUM(C26:C31)</f>
        <v>24</v>
      </c>
      <c r="D24" s="25"/>
      <c r="E24" s="25"/>
      <c r="F24" s="25"/>
      <c r="G24" s="25"/>
      <c r="H24" s="25"/>
      <c r="I24" s="25"/>
      <c r="J24" s="26"/>
    </row>
    <row r="25" spans="1:10" x14ac:dyDescent="0.25">
      <c r="A25" s="41" t="s">
        <v>92</v>
      </c>
      <c r="B25" s="42"/>
      <c r="C25" s="42"/>
      <c r="D25" s="42"/>
      <c r="E25" s="42"/>
      <c r="F25" s="42"/>
      <c r="G25" s="42"/>
      <c r="H25" s="42"/>
      <c r="I25" s="43"/>
      <c r="J25" s="27"/>
    </row>
    <row r="26" spans="1:10" x14ac:dyDescent="0.25">
      <c r="A26" s="25" t="s">
        <v>85</v>
      </c>
      <c r="B26" s="28" t="s">
        <v>55</v>
      </c>
      <c r="C26" s="25">
        <f>'Product backlog'!C21</f>
        <v>5</v>
      </c>
      <c r="D26" s="25"/>
      <c r="E26" s="25"/>
      <c r="F26" s="25"/>
      <c r="G26" s="25"/>
      <c r="H26" s="25"/>
      <c r="I26" s="25"/>
      <c r="J26" s="26"/>
    </row>
    <row r="27" spans="1:10" x14ac:dyDescent="0.25">
      <c r="A27" s="25" t="s">
        <v>86</v>
      </c>
      <c r="B27" s="28" t="s">
        <v>56</v>
      </c>
      <c r="C27" s="25">
        <f>'Product backlog'!C22</f>
        <v>4</v>
      </c>
      <c r="D27" s="25"/>
      <c r="E27" s="25"/>
      <c r="F27" s="25"/>
      <c r="G27" s="25"/>
      <c r="H27" s="25"/>
      <c r="I27" s="25"/>
      <c r="J27" s="26"/>
    </row>
    <row r="28" spans="1:10" x14ac:dyDescent="0.25">
      <c r="A28" s="25" t="s">
        <v>87</v>
      </c>
      <c r="B28" s="28" t="s">
        <v>57</v>
      </c>
      <c r="C28" s="25">
        <f>'Product backlog'!C23</f>
        <v>4</v>
      </c>
      <c r="D28" s="25"/>
      <c r="E28" s="25"/>
      <c r="F28" s="25"/>
      <c r="G28" s="25"/>
      <c r="H28" s="25"/>
      <c r="I28" s="25"/>
      <c r="J28" s="26"/>
    </row>
    <row r="29" spans="1:10" x14ac:dyDescent="0.25">
      <c r="A29" s="25" t="s">
        <v>88</v>
      </c>
      <c r="B29" s="28" t="s">
        <v>66</v>
      </c>
      <c r="C29" s="25">
        <f>'Product backlog'!C24</f>
        <v>4</v>
      </c>
      <c r="D29" s="25"/>
      <c r="E29" s="25"/>
      <c r="F29" s="25"/>
      <c r="G29" s="25"/>
      <c r="H29" s="25"/>
      <c r="I29" s="25"/>
      <c r="J29" s="26"/>
    </row>
    <row r="30" spans="1:10" x14ac:dyDescent="0.25">
      <c r="A30" s="25" t="s">
        <v>89</v>
      </c>
      <c r="B30" s="28" t="s">
        <v>67</v>
      </c>
      <c r="C30" s="25">
        <f>'Product backlog'!C25</f>
        <v>4</v>
      </c>
      <c r="D30" s="25"/>
      <c r="E30" s="25"/>
      <c r="F30" s="25"/>
      <c r="G30" s="25"/>
      <c r="H30" s="25"/>
      <c r="I30" s="25"/>
      <c r="J30" s="26"/>
    </row>
    <row r="31" spans="1:10" x14ac:dyDescent="0.25">
      <c r="A31" s="31" t="s">
        <v>90</v>
      </c>
      <c r="B31" s="32" t="s">
        <v>68</v>
      </c>
      <c r="C31" s="31">
        <f>'Product backlog'!$C$27</f>
        <v>3</v>
      </c>
      <c r="D31" s="31"/>
      <c r="E31" s="31"/>
      <c r="F31" s="31"/>
      <c r="G31" s="31"/>
      <c r="H31" s="31"/>
      <c r="I31" s="31"/>
      <c r="J31" s="33"/>
    </row>
  </sheetData>
  <mergeCells count="6">
    <mergeCell ref="A6:I6"/>
    <mergeCell ref="A14:I14"/>
    <mergeCell ref="A25:I25"/>
    <mergeCell ref="A1:J1"/>
    <mergeCell ref="E3:F3"/>
    <mergeCell ref="G3:H3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Admin</cp:lastModifiedBy>
  <cp:revision/>
  <dcterms:created xsi:type="dcterms:W3CDTF">2007-09-27T18:30:44Z</dcterms:created>
  <dcterms:modified xsi:type="dcterms:W3CDTF">2025-09-24T04:10:52Z</dcterms:modified>
  <cp:category>DNG67</cp:category>
  <cp:contentStatus/>
</cp:coreProperties>
</file>